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Settings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<sst xmlns="http://schemas.openxmlformats.org/spreadsheetml/2006/main" count="171" uniqueCount="93">
  <si>
    <t>Risk ID</t>
  </si>
  <si>
    <t>Risk Description</t>
  </si>
  <si>
    <t>Risk Causes</t>
  </si>
  <si>
    <t>Department</t>
  </si>
  <si>
    <t>Consequences</t>
  </si>
  <si>
    <t>Mitigation Techniques</t>
  </si>
  <si>
    <t>Inherent Impact</t>
  </si>
  <si>
    <t>Likelihood</t>
  </si>
  <si>
    <t>Risk Level</t>
  </si>
  <si>
    <t>Risk Response Strategy</t>
  </si>
  <si>
    <t>New Controls</t>
  </si>
  <si>
    <t>Residual Impact</t>
  </si>
  <si>
    <t>Residual Likelihood</t>
  </si>
  <si>
    <t>Residual Risk Rating</t>
  </si>
  <si>
    <t>Risk Status</t>
  </si>
  <si>
    <t>Next Review Date</t>
  </si>
  <si>
    <t>Data breach from unauthorized access</t>
  </si>
  <si>
    <t>Weak passwords, phishing</t>
  </si>
  <si>
    <t>IT</t>
  </si>
  <si>
    <t>Data loss, reputational damage</t>
  </si>
  <si>
    <t>MFA, encryption</t>
  </si>
  <si>
    <t>High</t>
  </si>
  <si>
    <t>Critical</t>
  </si>
  <si>
    <t>Mitigate</t>
  </si>
  <si>
    <t>Implement SOC monitoring</t>
  </si>
  <si>
    <t>Medium</t>
  </si>
  <si>
    <t>Low</t>
  </si>
  <si>
    <t>Open</t>
  </si>
  <si>
    <t>2026-07-15</t>
  </si>
  <si>
    <t>System downtime</t>
  </si>
  <si>
    <t>Server failure, overload</t>
  </si>
  <si>
    <t>Service disruption</t>
  </si>
  <si>
    <t>Load balancing, backups</t>
  </si>
  <si>
    <t>Cloud redundancy</t>
  </si>
  <si>
    <t>2026-07-10</t>
  </si>
  <si>
    <t>Fraudulent transactions</t>
  </si>
  <si>
    <t>Weak verification</t>
  </si>
  <si>
    <t>Finance</t>
  </si>
  <si>
    <t>Financial loss</t>
  </si>
  <si>
    <t>KYC, transaction monitoring</t>
  </si>
  <si>
    <t>AI fraud detection</t>
  </si>
  <si>
    <t>2026-07-20</t>
  </si>
  <si>
    <t>Regulatory non-compliance</t>
  </si>
  <si>
    <t>Outdated policies</t>
  </si>
  <si>
    <t>Legal</t>
  </si>
  <si>
    <t>Fines, penalties</t>
  </si>
  <si>
    <t>Regular audits</t>
  </si>
  <si>
    <t>Compliance training</t>
  </si>
  <si>
    <t>2026-08-01</t>
  </si>
  <si>
    <t>Employee data leakage</t>
  </si>
  <si>
    <t>Insider threat</t>
  </si>
  <si>
    <t>HR/IT</t>
  </si>
  <si>
    <t>Privacy breach</t>
  </si>
  <si>
    <t>Access control, monitoring</t>
  </si>
  <si>
    <t>Zero-trust access model</t>
  </si>
  <si>
    <t>2026-07-25</t>
  </si>
  <si>
    <t>Cyberattack (DDoS)</t>
  </si>
  <si>
    <t>External attackers</t>
  </si>
  <si>
    <t>Service outage</t>
  </si>
  <si>
    <t>Firewall, rate limiting</t>
  </si>
  <si>
    <t>Cloud DDoS protection</t>
  </si>
  <si>
    <t>2026-07-18</t>
  </si>
  <si>
    <t>Project delay</t>
  </si>
  <si>
    <t>Poor planning, resource shortage</t>
  </si>
  <si>
    <t>Operations</t>
  </si>
  <si>
    <t>Missed deadlines</t>
  </si>
  <si>
    <t>Agile planning</t>
  </si>
  <si>
    <t>Resource reallocation</t>
  </si>
  <si>
    <t>2026-07-30</t>
  </si>
  <si>
    <t>Third-party vendor failure</t>
  </si>
  <si>
    <t>Vendor instability</t>
  </si>
  <si>
    <t>Procurement</t>
  </si>
  <si>
    <t>Vendor assessment</t>
  </si>
  <si>
    <t>Backup vendors</t>
  </si>
  <si>
    <t>2026-07-28</t>
  </si>
  <si>
    <t>Fraudulent Vendor Listings</t>
  </si>
  <si>
    <t>Weak onboarding, no identity verification, poor monitoring</t>
  </si>
  <si>
    <t>Marketplace Operations</t>
  </si>
  <si>
    <t>Financial loss, customer complaints, reputational damage</t>
  </si>
  <si>
    <t xml:space="preserve">Appropriate vendor assessments/ make sure all vendors have been registered with CAC and have KYC details that correspond with listing details. </t>
  </si>
  <si>
    <t>KYC verification, fraud detection tools, customer reporting mechanisms</t>
  </si>
  <si>
    <t>Impact</t>
  </si>
  <si>
    <t>Status</t>
  </si>
  <si>
    <t>Response</t>
  </si>
  <si>
    <t>Monitoring</t>
  </si>
  <si>
    <t>Transfer</t>
  </si>
  <si>
    <t>Closed</t>
  </si>
  <si>
    <t>Avoid</t>
  </si>
  <si>
    <t>Accept</t>
  </si>
  <si>
    <t>Align Risk Dashboard</t>
  </si>
  <si>
    <t>Total Risks</t>
  </si>
  <si>
    <t>Open Risks</t>
  </si>
  <si>
    <t>High/Critical Risks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</si>
</sst>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isk Regi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" displayName="Table1" name="Table1" id="1">
  <tableColumns count="16">
    <tableColumn name="Risk ID" id="1"/>
    <tableColumn name="Risk Description" id="2"/>
    <tableColumn name="Risk Causes" id="3"/>
    <tableColumn name="Department" id="4"/>
    <tableColumn name="Consequences" id="5"/>
    <tableColumn name="Mitigation Techniques" id="6"/>
    <tableColumn name="Inherent Impact" id="7"/>
    <tableColumn name="Likelihood" id="8"/>
    <tableColumn name="Risk Level" id="9"/>
    <tableColumn name="Risk Response Strategy" id="10"/>
    <tableColumn name="New Controls" id="11"/>
    <tableColumn name="Residual Impact" id="12"/>
    <tableColumn name="Residual Likelihood" id="13"/>
    <tableColumn name="Residual Risk Rating" id="14"/>
    <tableColumn name="Risk Status" id="15"/>
    <tableColumn name="Next Review Date" id="16"/>
  </tableColumns>
  <tableStyleInfo name="Risk 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19.29"/>
    <col customWidth="1" min="13" max="13" width="19.57"/>
    <col customWidth="1" min="14" max="14" width="22.43"/>
    <col customWidth="1" min="15" max="25" width="19.29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</row>
    <row r="2" ht="57.0" customHeight="1">
      <c r="A2" s="3">
        <v>1.0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21</v>
      </c>
      <c r="I2" s="4" t="s">
        <v>22</v>
      </c>
      <c r="J2" s="4" t="s">
        <v>23</v>
      </c>
      <c r="K2" s="4" t="s">
        <v>24</v>
      </c>
      <c r="L2" s="5" t="s">
        <v>25</v>
      </c>
      <c r="M2" s="5" t="s">
        <v>26</v>
      </c>
      <c r="N2" s="5" t="s">
        <v>25</v>
      </c>
      <c r="O2" s="4" t="s">
        <v>27</v>
      </c>
      <c r="P2" s="4" t="s">
        <v>28</v>
      </c>
      <c r="Q2" s="2"/>
      <c r="R2" s="2"/>
      <c r="S2" s="2"/>
      <c r="T2" s="2"/>
      <c r="U2" s="2"/>
      <c r="V2" s="2"/>
      <c r="W2" s="2"/>
      <c r="X2" s="2"/>
      <c r="Y2" s="2"/>
    </row>
    <row r="3" ht="57.0" customHeight="1">
      <c r="A3" s="3">
        <v>2.0</v>
      </c>
      <c r="B3" s="4" t="s">
        <v>29</v>
      </c>
      <c r="C3" s="4" t="s">
        <v>30</v>
      </c>
      <c r="D3" s="4" t="s">
        <v>18</v>
      </c>
      <c r="E3" s="4" t="s">
        <v>31</v>
      </c>
      <c r="F3" s="4" t="s">
        <v>32</v>
      </c>
      <c r="G3" s="5" t="s">
        <v>21</v>
      </c>
      <c r="H3" s="4" t="s">
        <v>25</v>
      </c>
      <c r="I3" s="4" t="s">
        <v>21</v>
      </c>
      <c r="J3" s="4" t="s">
        <v>23</v>
      </c>
      <c r="K3" s="4" t="s">
        <v>33</v>
      </c>
      <c r="L3" s="5" t="s">
        <v>25</v>
      </c>
      <c r="M3" s="5" t="s">
        <v>26</v>
      </c>
      <c r="N3" s="5" t="s">
        <v>26</v>
      </c>
      <c r="O3" s="4" t="s">
        <v>27</v>
      </c>
      <c r="P3" s="4" t="s">
        <v>34</v>
      </c>
      <c r="Q3" s="2"/>
      <c r="R3" s="2"/>
      <c r="S3" s="2"/>
      <c r="T3" s="2"/>
      <c r="U3" s="2"/>
      <c r="V3" s="2"/>
      <c r="W3" s="2"/>
      <c r="X3" s="2"/>
      <c r="Y3" s="2"/>
    </row>
    <row r="4" ht="57.0" customHeight="1">
      <c r="A4" s="3">
        <v>3.0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5" t="s">
        <v>21</v>
      </c>
      <c r="H4" s="4" t="s">
        <v>25</v>
      </c>
      <c r="I4" s="4" t="s">
        <v>21</v>
      </c>
      <c r="J4" s="4" t="s">
        <v>23</v>
      </c>
      <c r="K4" s="4" t="s">
        <v>40</v>
      </c>
      <c r="L4" s="5" t="s">
        <v>25</v>
      </c>
      <c r="M4" s="5" t="s">
        <v>26</v>
      </c>
      <c r="N4" s="5" t="s">
        <v>26</v>
      </c>
      <c r="O4" s="4" t="s">
        <v>27</v>
      </c>
      <c r="P4" s="4" t="s">
        <v>41</v>
      </c>
      <c r="Q4" s="2"/>
      <c r="R4" s="2"/>
      <c r="S4" s="2"/>
      <c r="T4" s="2"/>
      <c r="U4" s="2"/>
      <c r="V4" s="2"/>
      <c r="W4" s="2"/>
      <c r="X4" s="2"/>
      <c r="Y4" s="2"/>
    </row>
    <row r="5" ht="57.0" customHeight="1">
      <c r="A5" s="3">
        <v>4.0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5" t="s">
        <v>21</v>
      </c>
      <c r="H5" s="4" t="s">
        <v>26</v>
      </c>
      <c r="I5" s="4" t="s">
        <v>25</v>
      </c>
      <c r="J5" s="4" t="s">
        <v>23</v>
      </c>
      <c r="K5" s="4" t="s">
        <v>47</v>
      </c>
      <c r="L5" s="5" t="s">
        <v>25</v>
      </c>
      <c r="M5" s="5" t="s">
        <v>26</v>
      </c>
      <c r="N5" s="5" t="s">
        <v>26</v>
      </c>
      <c r="O5" s="4" t="s">
        <v>27</v>
      </c>
      <c r="P5" s="4" t="s">
        <v>48</v>
      </c>
      <c r="Q5" s="2"/>
      <c r="R5" s="2"/>
      <c r="S5" s="2"/>
      <c r="T5" s="2"/>
      <c r="U5" s="2"/>
      <c r="V5" s="2"/>
      <c r="W5" s="2"/>
      <c r="X5" s="2"/>
      <c r="Y5" s="2"/>
    </row>
    <row r="6" ht="57.0" customHeight="1">
      <c r="A6" s="3">
        <v>5.0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53</v>
      </c>
      <c r="G6" s="5" t="s">
        <v>21</v>
      </c>
      <c r="H6" s="4" t="s">
        <v>26</v>
      </c>
      <c r="I6" s="4" t="s">
        <v>25</v>
      </c>
      <c r="J6" s="4" t="s">
        <v>23</v>
      </c>
      <c r="K6" s="4" t="s">
        <v>54</v>
      </c>
      <c r="L6" s="5" t="s">
        <v>25</v>
      </c>
      <c r="M6" s="5" t="s">
        <v>26</v>
      </c>
      <c r="N6" s="5" t="s">
        <v>26</v>
      </c>
      <c r="O6" s="4" t="s">
        <v>27</v>
      </c>
      <c r="P6" s="4" t="s">
        <v>55</v>
      </c>
      <c r="Q6" s="2"/>
      <c r="R6" s="2"/>
      <c r="S6" s="2"/>
      <c r="T6" s="2"/>
      <c r="U6" s="2"/>
      <c r="V6" s="2"/>
      <c r="W6" s="2"/>
      <c r="X6" s="2"/>
      <c r="Y6" s="2"/>
    </row>
    <row r="7" ht="57.0" customHeight="1">
      <c r="A7" s="3">
        <v>6.0</v>
      </c>
      <c r="B7" s="4" t="s">
        <v>56</v>
      </c>
      <c r="C7" s="4" t="s">
        <v>57</v>
      </c>
      <c r="D7" s="4" t="s">
        <v>18</v>
      </c>
      <c r="E7" s="4" t="s">
        <v>58</v>
      </c>
      <c r="F7" s="4" t="s">
        <v>59</v>
      </c>
      <c r="G7" s="5" t="s">
        <v>21</v>
      </c>
      <c r="H7" s="4" t="s">
        <v>21</v>
      </c>
      <c r="I7" s="4" t="s">
        <v>22</v>
      </c>
      <c r="J7" s="4" t="s">
        <v>23</v>
      </c>
      <c r="K7" s="4" t="s">
        <v>60</v>
      </c>
      <c r="L7" s="5" t="s">
        <v>25</v>
      </c>
      <c r="M7" s="5" t="s">
        <v>25</v>
      </c>
      <c r="N7" s="5" t="s">
        <v>25</v>
      </c>
      <c r="O7" s="4" t="s">
        <v>27</v>
      </c>
      <c r="P7" s="4" t="s">
        <v>61</v>
      </c>
      <c r="Q7" s="2"/>
      <c r="R7" s="2"/>
      <c r="S7" s="2"/>
      <c r="T7" s="2"/>
      <c r="U7" s="2"/>
      <c r="V7" s="2"/>
      <c r="W7" s="2"/>
      <c r="X7" s="2"/>
      <c r="Y7" s="2"/>
    </row>
    <row r="8" ht="57.0" customHeight="1">
      <c r="A8" s="3">
        <v>7.0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66</v>
      </c>
      <c r="G8" s="5" t="s">
        <v>25</v>
      </c>
      <c r="H8" s="4" t="s">
        <v>25</v>
      </c>
      <c r="I8" s="4" t="s">
        <v>25</v>
      </c>
      <c r="J8" s="4" t="s">
        <v>23</v>
      </c>
      <c r="K8" s="4" t="s">
        <v>67</v>
      </c>
      <c r="L8" s="5" t="s">
        <v>26</v>
      </c>
      <c r="M8" s="5" t="s">
        <v>26</v>
      </c>
      <c r="N8" s="5" t="s">
        <v>26</v>
      </c>
      <c r="O8" s="4" t="s">
        <v>27</v>
      </c>
      <c r="P8" s="4" t="s">
        <v>68</v>
      </c>
      <c r="Q8" s="2"/>
      <c r="R8" s="2"/>
      <c r="S8" s="2"/>
      <c r="T8" s="2"/>
      <c r="U8" s="2"/>
      <c r="V8" s="2"/>
      <c r="W8" s="2"/>
      <c r="X8" s="2"/>
      <c r="Y8" s="2"/>
    </row>
    <row r="9" ht="57.0" customHeight="1">
      <c r="A9" s="3">
        <v>8.0</v>
      </c>
      <c r="B9" s="4" t="s">
        <v>69</v>
      </c>
      <c r="C9" s="4" t="s">
        <v>70</v>
      </c>
      <c r="D9" s="4" t="s">
        <v>71</v>
      </c>
      <c r="E9" s="4" t="s">
        <v>31</v>
      </c>
      <c r="F9" s="4" t="s">
        <v>72</v>
      </c>
      <c r="G9" s="5" t="s">
        <v>21</v>
      </c>
      <c r="H9" s="4" t="s">
        <v>26</v>
      </c>
      <c r="I9" s="4" t="s">
        <v>25</v>
      </c>
      <c r="J9" s="4" t="s">
        <v>23</v>
      </c>
      <c r="K9" s="4" t="s">
        <v>73</v>
      </c>
      <c r="L9" s="5" t="s">
        <v>25</v>
      </c>
      <c r="M9" s="5" t="s">
        <v>26</v>
      </c>
      <c r="N9" s="5" t="s">
        <v>26</v>
      </c>
      <c r="O9" s="4" t="s">
        <v>27</v>
      </c>
      <c r="P9" s="4" t="s">
        <v>74</v>
      </c>
      <c r="Q9" s="2"/>
      <c r="R9" s="2"/>
      <c r="S9" s="2"/>
      <c r="T9" s="2"/>
      <c r="U9" s="2"/>
      <c r="V9" s="2"/>
      <c r="W9" s="2"/>
      <c r="X9" s="2"/>
      <c r="Y9" s="2"/>
    </row>
    <row r="10" ht="57.0" customHeight="1">
      <c r="A10" s="6">
        <v>9.0</v>
      </c>
      <c r="B10" s="7" t="s">
        <v>75</v>
      </c>
      <c r="C10" s="7" t="s">
        <v>76</v>
      </c>
      <c r="D10" s="7" t="s">
        <v>77</v>
      </c>
      <c r="E10" s="7" t="s">
        <v>78</v>
      </c>
      <c r="F10" s="7" t="s">
        <v>79</v>
      </c>
      <c r="G10" s="8" t="s">
        <v>25</v>
      </c>
      <c r="H10" s="7" t="s">
        <v>25</v>
      </c>
      <c r="I10" s="7" t="s">
        <v>21</v>
      </c>
      <c r="J10" s="7" t="s">
        <v>23</v>
      </c>
      <c r="K10" s="7" t="s">
        <v>80</v>
      </c>
      <c r="L10" s="8" t="s">
        <v>25</v>
      </c>
      <c r="M10" s="8" t="s">
        <v>26</v>
      </c>
      <c r="N10" s="8" t="s">
        <v>25</v>
      </c>
      <c r="O10" s="7" t="s">
        <v>27</v>
      </c>
      <c r="P10" s="9">
        <v>46204.0</v>
      </c>
      <c r="Q10" s="2"/>
      <c r="R10" s="2"/>
      <c r="S10" s="2"/>
      <c r="T10" s="2"/>
      <c r="U10" s="2"/>
      <c r="V10" s="2"/>
      <c r="W10" s="2"/>
      <c r="X10" s="2"/>
      <c r="Y10" s="2"/>
    </row>
    <row r="11" ht="57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57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57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57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57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57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5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5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5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5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5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5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5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5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5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5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5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5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5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5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5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5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5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5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5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5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5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5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5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5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5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5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5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5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5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5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5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5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5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5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5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5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5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5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5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5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5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5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5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5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5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5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5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5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5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5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5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5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5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5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5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5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5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5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5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5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5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5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5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5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5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5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5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5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5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5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5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5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5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5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5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5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5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5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5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5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5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5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5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5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5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5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5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5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5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5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5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5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5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5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5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5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5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5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5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5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5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5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5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5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5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5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5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5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5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5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5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5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5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5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5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5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5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5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5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5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5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5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5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5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5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5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5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5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5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5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5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5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5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5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5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5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5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5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5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5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5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5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5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5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5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5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5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5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5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5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5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5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5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5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5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5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5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5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5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5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5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5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5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5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5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5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5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5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5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5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5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5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5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5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5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5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5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5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5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5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5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5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5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5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5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5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5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5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5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5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5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5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5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5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5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5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5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5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5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5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5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5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5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5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5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5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5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5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5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5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5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5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5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5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5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5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5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5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5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5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5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5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5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5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5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5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5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5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5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5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5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5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5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5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5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5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5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5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5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5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5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5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5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5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5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5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5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5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5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5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5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5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5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5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5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5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5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5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5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5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5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5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5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5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5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5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5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5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5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5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5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5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5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5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5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5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5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5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5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5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5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5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5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5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5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5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5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5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5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5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5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5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5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5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5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5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5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5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5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5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5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5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5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5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5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5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5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5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5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5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5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5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5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5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5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5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5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5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5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5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5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5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5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5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5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5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5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5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5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5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5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5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5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5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5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5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5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5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5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5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5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5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5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5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5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5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5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5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5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5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5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5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5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5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5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5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5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5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5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5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5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5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5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5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5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5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5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5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5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5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5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5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5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5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5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5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5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5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5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5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5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5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5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5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5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5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5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5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5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5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5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5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5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5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5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5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5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5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5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5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5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5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5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5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5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5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5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5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5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5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5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5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5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5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5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5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5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5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5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5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5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5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5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5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5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5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5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5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5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5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5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5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5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5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5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5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5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5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5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5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5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5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5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5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5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5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5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5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5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5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5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5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5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5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5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5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5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5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5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5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5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5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5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5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5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5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5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5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5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5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5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5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5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5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5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5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5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5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5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5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5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5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5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5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5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5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5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5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5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5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5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5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5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5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5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5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5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5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5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5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5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5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5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5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5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5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5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5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5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5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5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5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5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5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5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5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5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5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5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5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5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5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5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5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5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5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5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5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5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5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5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5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5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5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5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5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5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5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5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5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5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5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5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5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5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5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5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5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5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5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5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5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5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5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5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5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5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5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5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5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5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5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5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5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5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5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5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5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5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5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5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5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5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5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5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5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5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5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5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5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5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5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5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5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5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5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5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5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5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5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5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5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5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5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5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5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5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5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5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5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5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5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5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5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5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5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5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5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5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5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5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5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5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5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5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5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5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5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5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5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5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5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5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5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5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5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5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5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5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5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5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5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5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5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5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5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5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5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5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5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5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5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5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5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5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5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5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5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5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5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5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5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5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5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5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5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5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5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5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5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5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5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5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5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5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5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5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5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5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5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5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5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5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5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5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5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5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5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5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5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5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5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5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5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5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5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5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5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5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5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5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5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5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5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5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5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5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5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5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5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5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5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5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5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5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5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5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5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5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5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5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5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5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5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5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5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5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5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5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5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5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5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5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5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5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5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5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5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5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5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5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5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5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5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5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5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5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5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5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5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5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5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5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5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5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5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5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5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5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5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5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5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5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5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5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5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5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5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5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5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5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5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5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5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5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5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5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5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5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5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5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5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5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5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5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5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5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5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5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5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5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5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5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5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5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5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5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5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5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5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5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5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5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5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5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5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5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5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5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5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5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5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5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5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5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5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5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5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5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5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5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5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5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5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5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5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5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5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5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5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5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5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5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5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5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5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5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5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5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5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5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5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5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5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5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5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5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5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5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5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5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5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5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5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5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5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5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5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5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5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5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5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5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5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5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5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5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5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5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5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5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5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5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5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5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5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5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5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5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5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5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5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5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5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5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5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5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5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5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5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5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5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5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5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5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5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5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5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5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5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5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5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5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5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5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5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5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5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5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5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5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5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5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5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5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5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5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5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5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5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5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5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5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5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5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5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5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5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5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5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5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5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5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5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5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5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5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5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5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5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5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5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5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5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5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5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5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5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5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5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5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5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5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5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5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5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5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5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5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5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5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5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5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5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5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5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5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5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5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5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5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5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5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5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5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5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5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5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5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5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5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5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5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5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5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5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5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5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5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5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5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5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5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57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ataValidations>
    <dataValidation type="list" allowBlank="1" showDropDown="1" showErrorMessage="1" sqref="N2:N10">
      <formula1>"Medium,Low"</formula1>
    </dataValidation>
    <dataValidation type="list" allowBlank="1" sqref="G2:G10">
      <formula1>"High,Medium,Low"</formula1>
    </dataValidation>
    <dataValidation type="list" allowBlank="1" showDropDown="1" showErrorMessage="1" sqref="L2:L10">
      <formula1>"Medium,Low"</formula1>
    </dataValidation>
    <dataValidation type="custom" allowBlank="1" showDropDown="1" sqref="A2:A10">
      <formula1>AND(ISNUMBER(A2),(NOT(OR(NOT(ISERROR(DATEVALUE(A2))), AND(ISNUMBER(A2), LEFT(CELL("format", A2))="D")))))</formula1>
    </dataValidation>
    <dataValidation type="list" allowBlank="1" showDropDown="1" showErrorMessage="1" sqref="M2:M10">
      <formula1>"Low,Medium"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29"/>
  </cols>
  <sheetData>
    <row r="1" ht="44.25" customHeight="1">
      <c r="A1" s="10" t="s">
        <v>7</v>
      </c>
      <c r="B1" s="10" t="s">
        <v>81</v>
      </c>
      <c r="C1" s="10" t="s">
        <v>82</v>
      </c>
      <c r="D1" s="10" t="s">
        <v>83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4.25" customHeight="1">
      <c r="A2" s="10" t="s">
        <v>26</v>
      </c>
      <c r="B2" s="10" t="s">
        <v>26</v>
      </c>
      <c r="C2" s="10" t="s">
        <v>27</v>
      </c>
      <c r="D2" s="10" t="s">
        <v>23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44.25" customHeight="1">
      <c r="A3" s="10" t="s">
        <v>25</v>
      </c>
      <c r="B3" s="10" t="s">
        <v>25</v>
      </c>
      <c r="C3" s="10" t="s">
        <v>84</v>
      </c>
      <c r="D3" s="10" t="s">
        <v>85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4.25" customHeight="1">
      <c r="A4" s="10" t="s">
        <v>21</v>
      </c>
      <c r="B4" s="10" t="s">
        <v>21</v>
      </c>
      <c r="C4" s="10" t="s">
        <v>86</v>
      </c>
      <c r="D4" s="10" t="s">
        <v>87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4.25" customHeight="1">
      <c r="A5" s="10"/>
      <c r="B5" s="10"/>
      <c r="C5" s="10"/>
      <c r="D5" s="10" t="s">
        <v>88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4.2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4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4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4.2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4.2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4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4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4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4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4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44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4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4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4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4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44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44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4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4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4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4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4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4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4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4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4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4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4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4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4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4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4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4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4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4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4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4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4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4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4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4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4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4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4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4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4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4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4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4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4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4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4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4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4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4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4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4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4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4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4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4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4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4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4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4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4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4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4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4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4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4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4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4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4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4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4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4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4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4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4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4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4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4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4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4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4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4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4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4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4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4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4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4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4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4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4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4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4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4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4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4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4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4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4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4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4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4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4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4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4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4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4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4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4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4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4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4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4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4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4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4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4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4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4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4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4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4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4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4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4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4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4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4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4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4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4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4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4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4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4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4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4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4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4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4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4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4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4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4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4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4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4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4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4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4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4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4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4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4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4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4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4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4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4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4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4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4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4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4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4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4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4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4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4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4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4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4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4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4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4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4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4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4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4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4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4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4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4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4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4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4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4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4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4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4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4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4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4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4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4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4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4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4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4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4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4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4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4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4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4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4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4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4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4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4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4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4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4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4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4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4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4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4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4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4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4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4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4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4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4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4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4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4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4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4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4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4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4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4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4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4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4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4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4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4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4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4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4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4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4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4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4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4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4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4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4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4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4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4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4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4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4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4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4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4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4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4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4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4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4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4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4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4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4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4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4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4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4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4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4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4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4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4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4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4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4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4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4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4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4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4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4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4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4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4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4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4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4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4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4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4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4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4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4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4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4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4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4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4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4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4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4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4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4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4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4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4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4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4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4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4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4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4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4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4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4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4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4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4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4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4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4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4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4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4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4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4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4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4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4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4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4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4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4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4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4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4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4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4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4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4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4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4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4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4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4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4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4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4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4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4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4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4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4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4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4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4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4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4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4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4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4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4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4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4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4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4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4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4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4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4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4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4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4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4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4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4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4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4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4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4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4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4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4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4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4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4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4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4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4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4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4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4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4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4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4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4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4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4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4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4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4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4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4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4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4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4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4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4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4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4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4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4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4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4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4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4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4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4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4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4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4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4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4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4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4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4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4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4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4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4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4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4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4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4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4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4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4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4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4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4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4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4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4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4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4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4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4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4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4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4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4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4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4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4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4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4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4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4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4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4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4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4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4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4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4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4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4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4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4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4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4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4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4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4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4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4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4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4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4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4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4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4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4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4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4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4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4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4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4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4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4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4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4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4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4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4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4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4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4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4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4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4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4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4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4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4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4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4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4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4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4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4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4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4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4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4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4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4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4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4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4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4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4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4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4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4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4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4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4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4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4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4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4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4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4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4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4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4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4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4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4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4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4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4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4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4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4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4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4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4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4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4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4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4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4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4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4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4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4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4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4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4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4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4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4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4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4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4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4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4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4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4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4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4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4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4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4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4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4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4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4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4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4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4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4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4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4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4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4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4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4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4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4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4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4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4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4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4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4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4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4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4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4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4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4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4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4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4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4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4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4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4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4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4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4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4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4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4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4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4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4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4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4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4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4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4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4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4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4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4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4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4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4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4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4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4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4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4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4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4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4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4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4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4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4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4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4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4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4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4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4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4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4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4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4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4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4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4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4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4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4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4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4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4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4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4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4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4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4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4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4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4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4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4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4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4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4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4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4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4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4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4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4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4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4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4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4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4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4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4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4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4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4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4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4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4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4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4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4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4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4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4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4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4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4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4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4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4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4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4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4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4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4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4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4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4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4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4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4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4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4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4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4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4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4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4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4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4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4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4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4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4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4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4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4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4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4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4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4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4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4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4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4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4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4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4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4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4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4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4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4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4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4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4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4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4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4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4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4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4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4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4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4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4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4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4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4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4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4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4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4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4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4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4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4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4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4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4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4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4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4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4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4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4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4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4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4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4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4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4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4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4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4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4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4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4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4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4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4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4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4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4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4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4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4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4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4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4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4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4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4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4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4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4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4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4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4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4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4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4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4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4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4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4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4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4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4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4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4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4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4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4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4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4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4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4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4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4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4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4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4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4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4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4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4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4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4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4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4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4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4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4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4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4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4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4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4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4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4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4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4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4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4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4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4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4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4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4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4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4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4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4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4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4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4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4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4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4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4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4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4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4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4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4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4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4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4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4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4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4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4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4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4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4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4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4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4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4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4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4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4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4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4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4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4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4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4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4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4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4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4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4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4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4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4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4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4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4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4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4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4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4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4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4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4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4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4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4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4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4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4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4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4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4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4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4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4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4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4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4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4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4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4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4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4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4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4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4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4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4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4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4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4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4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4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4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4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4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4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4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4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4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4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4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4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4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4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4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4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4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4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9.14"/>
  </cols>
  <sheetData>
    <row r="1" ht="29.25" customHeight="1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9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9.25" customHeight="1">
      <c r="A3" s="10" t="s">
        <v>90</v>
      </c>
      <c r="B3" s="10">
        <f>COUNTA('Risk Register'!A:A)-1</f>
        <v>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9.25" customHeight="1">
      <c r="A4" s="10" t="s">
        <v>91</v>
      </c>
      <c r="B4" s="10">
        <f>COUNTIF('Risk Register'!P:P,"Open")</f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9.25" customHeight="1">
      <c r="A5" s="10" t="s">
        <v>92</v>
      </c>
      <c r="B5" s="10">
        <f>COUNTIF(#REF!,"&gt;=7")</f>
        <v>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9.2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9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9.2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9.2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9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9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9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9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9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9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9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9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9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9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9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9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9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9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9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9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9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9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9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9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9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9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9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9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9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9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9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9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9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9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9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9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9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9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9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9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9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9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9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9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9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9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9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9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9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9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9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9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9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9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9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9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9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9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9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9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9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9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9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9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9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9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9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9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9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9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9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9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9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9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9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9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9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9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9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9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9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9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9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9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9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9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9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9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9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9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9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9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9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9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9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9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9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9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9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9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9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9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9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9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9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9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9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9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9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9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9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29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9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9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9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9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9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29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9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29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29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9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9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9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9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9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9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9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9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9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9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9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9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9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9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9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9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9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9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9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9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9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9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9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9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9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9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9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9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9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9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9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9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9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9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9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9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9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9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9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9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9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9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9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9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9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9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9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9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9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9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9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9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9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29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9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9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9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9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9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9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9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9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9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9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9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9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9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9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9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9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9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9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9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9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9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9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9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9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9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9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9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9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9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9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9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9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9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9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9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9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9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9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9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9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9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9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9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9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9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9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9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9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9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9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9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9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9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9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9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9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9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9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9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9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9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9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9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9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9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9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9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9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9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9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9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9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9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9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9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9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9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9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9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9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9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9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9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9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9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9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9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9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9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9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9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9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9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9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9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9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9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9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9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9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9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9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9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9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9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9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9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9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9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9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9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9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9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9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9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9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9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9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9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9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9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9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9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9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9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9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9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9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9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9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9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9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9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9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9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9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9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9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9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9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9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9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9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9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9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9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9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9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9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9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9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9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9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9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9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9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9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9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9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9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9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9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9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9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9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9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9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9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9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9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9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9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9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9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9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9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9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9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9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9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9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9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9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9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9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9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9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9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9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9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9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9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9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9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9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9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9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9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9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9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9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9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9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9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9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9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9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9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9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9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9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9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9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9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9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9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9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9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9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9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9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9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9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9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9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9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9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9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9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9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9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9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9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9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9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9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9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9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9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9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9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9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9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9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9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9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9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9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9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9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9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9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9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9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9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9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9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9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9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9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9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9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9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9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9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9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9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9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9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9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9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9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9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9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9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9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9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9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9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9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9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9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9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9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9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9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9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9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9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9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9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9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9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9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9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9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9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9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9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9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9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9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9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9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9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9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9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9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9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9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9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9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9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9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9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9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9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9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9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9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9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9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9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9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9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9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9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9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9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9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9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9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9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9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9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9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9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9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9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9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9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9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9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9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9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9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9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9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9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9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9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9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9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9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9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9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9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9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9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9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9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9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9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9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9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9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9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9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9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9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9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9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9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9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9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9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9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9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9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9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9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9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9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9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9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9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9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9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9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9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9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29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29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29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29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29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29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29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29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29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29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29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29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29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29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29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29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29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29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29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29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29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29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29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29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29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29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29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29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29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29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29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29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29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29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29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29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29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29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29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29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29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29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29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29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29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29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29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29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29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29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29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29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29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29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29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29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29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29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29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29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29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29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29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29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29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29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29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29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29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29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29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29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29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29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29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29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29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29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29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29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29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29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29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29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29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29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29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29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29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29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29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29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29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29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29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29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29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29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29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29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29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29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29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29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29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29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29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29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29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29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29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29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29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29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29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29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29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29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29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29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29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29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29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29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29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29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29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29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29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29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29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29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29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29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29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29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29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29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29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29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29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29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29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29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29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29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29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29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29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29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29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29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29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29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29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29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29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29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29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29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29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29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29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29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29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29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29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29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9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29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29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29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29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29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29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29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29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29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29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29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29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29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29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29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29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29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29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29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29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29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29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29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29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29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29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29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29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29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29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29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29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29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29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29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29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29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29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29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29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29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29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29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29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29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29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29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29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29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29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29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29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29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29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29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29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29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29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29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29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29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29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29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29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29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29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29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29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29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29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29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29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29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29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29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29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29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29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29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29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29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29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29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29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29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29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29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29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29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29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29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29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29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29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29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29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29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29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29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29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29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29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29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29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29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29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29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29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29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29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29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29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29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29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29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29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29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29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29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29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29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29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29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29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29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29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29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29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29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29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29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29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29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29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29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29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29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29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29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29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29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29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29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29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29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29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29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29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29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29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29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29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29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29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29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29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29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29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9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29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29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29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29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29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29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29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29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29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29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29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29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29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29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29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29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29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29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29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29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29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29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29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29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29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29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29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29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29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29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29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29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29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29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29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29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29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29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29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29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29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29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29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29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29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29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29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29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29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29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29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29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29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29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29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29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29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29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29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29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29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29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29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29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29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29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29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29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29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29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29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29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29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29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29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29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29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29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29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29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29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29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29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29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29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29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29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29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29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29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29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29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29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29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29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29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29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29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29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29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